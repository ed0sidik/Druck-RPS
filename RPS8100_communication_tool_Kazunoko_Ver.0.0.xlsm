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12004939\Desktop\"/>
    </mc:Choice>
  </mc:AlternateContent>
  <xr:revisionPtr revIDLastSave="0" documentId="13_ncr:1_{D391C2D1-3CD5-431B-A88E-62959C01E959}" xr6:coauthVersionLast="47" xr6:coauthVersionMax="47" xr10:uidLastSave="{00000000-0000-0000-0000-000000000000}"/>
  <bookViews>
    <workbookView xWindow="-108" yWindow="-108" windowWidth="23256" windowHeight="12576" xr2:uid="{D905E4C2-4689-4DDF-A32B-D7781D72954F}"/>
  </bookViews>
  <sheets>
    <sheet name="NanoCal" sheetId="1" r:id="rId1"/>
    <sheet name="RP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2" l="1"/>
  <c r="C34" i="2" s="1"/>
  <c r="B29" i="2"/>
  <c r="F19" i="1"/>
  <c r="F18" i="1"/>
  <c r="F16" i="1"/>
  <c r="F15" i="1"/>
  <c r="B16" i="1"/>
  <c r="C12" i="1" s="1"/>
  <c r="D12" i="1" s="1"/>
  <c r="B19" i="1"/>
  <c r="B18" i="1"/>
  <c r="B15" i="1"/>
  <c r="C11" i="1" l="1"/>
  <c r="D11" i="1" s="1"/>
  <c r="C10" i="1"/>
  <c r="D10" i="1" s="1"/>
  <c r="C9" i="1"/>
  <c r="D9" i="1" s="1"/>
  <c r="C8" i="1"/>
  <c r="D8" i="1" s="1"/>
  <c r="C7" i="1"/>
  <c r="D7" i="1" s="1"/>
  <c r="C5" i="1"/>
  <c r="D5" i="1" s="1"/>
  <c r="C6" i="1"/>
  <c r="D6" i="1" s="1"/>
  <c r="C13" i="1"/>
  <c r="D13" i="1" s="1"/>
  <c r="C40" i="2"/>
  <c r="C39" i="2"/>
  <c r="C46" i="2"/>
  <c r="C38" i="2"/>
  <c r="C37" i="2"/>
  <c r="C49" i="2"/>
  <c r="C48" i="2"/>
  <c r="C45" i="2"/>
  <c r="C33" i="2"/>
  <c r="C44" i="2"/>
  <c r="C36" i="2"/>
  <c r="C35" i="2"/>
  <c r="C41" i="2"/>
  <c r="C47" i="2"/>
  <c r="C32" i="2"/>
  <c r="C51" i="2"/>
  <c r="C43" i="2"/>
  <c r="C50" i="2"/>
  <c r="C42" i="2"/>
  <c r="G12" i="1"/>
  <c r="H12" i="1" s="1"/>
  <c r="G10" i="1"/>
  <c r="H10" i="1" s="1"/>
  <c r="G11" i="1"/>
  <c r="H11" i="1" s="1"/>
  <c r="G9" i="1"/>
  <c r="H9" i="1" s="1"/>
  <c r="G8" i="1"/>
  <c r="H8" i="1" s="1"/>
  <c r="G5" i="1"/>
  <c r="H5" i="1" s="1"/>
  <c r="G7" i="1"/>
  <c r="H7" i="1" s="1"/>
  <c r="G14" i="1"/>
  <c r="H14" i="1" s="1"/>
  <c r="G6" i="1"/>
  <c r="H6" i="1" s="1"/>
  <c r="G13" i="1"/>
  <c r="H13" i="1" s="1"/>
  <c r="C53" i="2" l="1"/>
</calcChain>
</file>

<file path=xl/sharedStrings.xml><?xml version="1.0" encoding="utf-8"?>
<sst xmlns="http://schemas.openxmlformats.org/spreadsheetml/2006/main" count="61" uniqueCount="50">
  <si>
    <t>m</t>
    <phoneticPr fontId="1"/>
  </si>
  <si>
    <t>c</t>
    <phoneticPr fontId="1"/>
  </si>
  <si>
    <t>c2</t>
    <phoneticPr fontId="1"/>
  </si>
  <si>
    <t>m2</t>
    <phoneticPr fontId="1"/>
  </si>
  <si>
    <t>x</t>
    <phoneticPr fontId="1"/>
  </si>
  <si>
    <t>y</t>
    <phoneticPr fontId="1"/>
  </si>
  <si>
    <t>BSL</t>
    <phoneticPr fontId="1"/>
  </si>
  <si>
    <t>Error</t>
    <phoneticPr fontId="1"/>
  </si>
  <si>
    <t>y = mx + c</t>
    <phoneticPr fontId="1"/>
  </si>
  <si>
    <t>x = m2 y + c2</t>
    <phoneticPr fontId="1"/>
  </si>
  <si>
    <t>Arduino Nano</t>
    <phoneticPr fontId="1"/>
  </si>
  <si>
    <t>VID</t>
    <phoneticPr fontId="1"/>
  </si>
  <si>
    <t>1A86</t>
    <phoneticPr fontId="1"/>
  </si>
  <si>
    <t>PID</t>
    <phoneticPr fontId="1"/>
  </si>
  <si>
    <t>Freq</t>
    <phoneticPr fontId="1"/>
  </si>
  <si>
    <t>Voltage</t>
    <phoneticPr fontId="1"/>
  </si>
  <si>
    <t>K00</t>
    <phoneticPr fontId="3"/>
  </si>
  <si>
    <t>CommPort#</t>
    <phoneticPr fontId="3"/>
  </si>
  <si>
    <t>K01</t>
  </si>
  <si>
    <t>K02</t>
  </si>
  <si>
    <t>K03</t>
  </si>
  <si>
    <t>K10</t>
    <phoneticPr fontId="3"/>
  </si>
  <si>
    <t>K11</t>
  </si>
  <si>
    <t>K12</t>
  </si>
  <si>
    <t>K13</t>
  </si>
  <si>
    <t>K20</t>
    <phoneticPr fontId="3"/>
  </si>
  <si>
    <t>K21</t>
  </si>
  <si>
    <t>K22</t>
  </si>
  <si>
    <t>K23</t>
  </si>
  <si>
    <t>K30</t>
    <phoneticPr fontId="3"/>
  </si>
  <si>
    <t>K31</t>
  </si>
  <si>
    <t>K32</t>
  </si>
  <si>
    <t>K33</t>
  </si>
  <si>
    <t>K40</t>
    <phoneticPr fontId="3"/>
  </si>
  <si>
    <t>K41</t>
  </si>
  <si>
    <t>K42</t>
  </si>
  <si>
    <t>K43</t>
  </si>
  <si>
    <t>X</t>
    <phoneticPr fontId="3"/>
  </si>
  <si>
    <t>Y</t>
    <phoneticPr fontId="3"/>
  </si>
  <si>
    <t>Temp</t>
    <phoneticPr fontId="1"/>
  </si>
  <si>
    <t>i</t>
    <phoneticPr fontId="1"/>
  </si>
  <si>
    <t>j</t>
    <phoneticPr fontId="1"/>
  </si>
  <si>
    <t>Pressure</t>
    <phoneticPr fontId="1"/>
  </si>
  <si>
    <t>Polynomial Coefficient</t>
    <phoneticPr fontId="3"/>
  </si>
  <si>
    <t>SN</t>
    <phoneticPr fontId="1"/>
  </si>
  <si>
    <t>N/A</t>
    <phoneticPr fontId="1"/>
  </si>
  <si>
    <t>BN</t>
    <phoneticPr fontId="1"/>
  </si>
  <si>
    <t>不明</t>
    <rPh sb="0" eb="2">
      <t>フメイ</t>
    </rPh>
    <phoneticPr fontId="1"/>
  </si>
  <si>
    <t>Simulation</t>
    <phoneticPr fontId="1"/>
  </si>
  <si>
    <t>Loop back for confirmation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</si>
</sst>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E+00"/>
    <numFmt numFmtId="177" formatCode="0.000_ "/>
    <numFmt numFmtId="178" formatCode="0.00000000"/>
    <numFmt numFmtId="179" formatCode="0.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2" fillId="0" borderId="0" xfId="1"/>
    <xf numFmtId="176" fontId="2" fillId="0" borderId="0" xfId="1" applyNumberFormat="1"/>
    <xf numFmtId="1" fontId="2" fillId="0" borderId="0" xfId="1" applyNumberFormat="1"/>
    <xf numFmtId="177" fontId="2" fillId="0" borderId="0" xfId="1" applyNumberFormat="1"/>
    <xf numFmtId="178" fontId="2" fillId="0" borderId="0" xfId="1" applyNumberFormat="1"/>
    <xf numFmtId="176" fontId="2" fillId="0" borderId="0" xfId="1" applyNumberFormat="1" applyAlignment="1">
      <alignment wrapText="1"/>
    </xf>
    <xf numFmtId="0" fontId="2" fillId="0" borderId="0" xfId="1" applyFill="1"/>
    <xf numFmtId="176" fontId="2" fillId="0" borderId="0" xfId="1" applyNumberFormat="1" applyFill="1"/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4" fillId="0" borderId="0" xfId="1" applyFont="1"/>
    <xf numFmtId="176" fontId="2" fillId="2" borderId="0" xfId="1" applyNumberFormat="1" applyFill="1"/>
  </cellXfs>
  <cellStyles count="2">
    <cellStyle name="Normal" xfId="0" builtinId="0"/>
    <cellStyle name="Normal 2" xfId="1" xr:uid="{B75E5546-3996-452A-91B8-D0D1DD73D1A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ADC BSL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NanoCal!$E$5:$E$12</c:f>
              <c:numCache>
                <c:formatCode>General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xVal>
          <c:yVal>
            <c:numRef>
              <c:f>NanoCal!$H$5:$H$12</c:f>
              <c:numCache>
                <c:formatCode>General</c:formatCode>
                <c:ptCount val="8"/>
                <c:pt idx="0">
                  <c:v>-1.666666666673422E-5</c:v>
                </c:pt>
                <c:pt idx="1">
                  <c:v>3.0952380952298242E-5</c:v>
                </c:pt>
                <c:pt idx="2">
                  <c:v>-2.142857142861665E-5</c:v>
                </c:pt>
                <c:pt idx="3">
                  <c:v>2.6190476190401935E-5</c:v>
                </c:pt>
                <c:pt idx="4">
                  <c:v>-2.6190476190568468E-5</c:v>
                </c:pt>
                <c:pt idx="5">
                  <c:v>2.1428571428505627E-5</c:v>
                </c:pt>
                <c:pt idx="6">
                  <c:v>-3.0952380952520286E-5</c:v>
                </c:pt>
                <c:pt idx="7">
                  <c:v>1.6666666666553809E-5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A-431A-B7A4-9BEF1C736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836623"/>
        <c:axId val="673835375"/>
      </c:scatterChart>
      <c:valAx>
        <c:axId val="673836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835375"/>
        <c:crosses val="autoZero"/>
        <c:crossBetween val="midCat"/>
      </c:valAx>
      <c:valAx>
        <c:axId val="67383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836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544830</xdr:colOff>
      <xdr:row>2</xdr:row>
      <xdr:rowOff>64770</xdr:rowOff>
    </xdr:from>
    <xdr:to>
      <xdr:col>15</xdr:col>
      <xdr:colOff>422910</xdr:colOff>
      <xdr:row>14</xdr:row>
      <xdr:rowOff>64770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</xdr:row>
          <xdr:rowOff>15240</xdr:rowOff>
        </xdr:from>
        <xdr:to>
          <xdr:col>6</xdr:col>
          <xdr:colOff>510540</xdr:colOff>
          <xdr:row>2</xdr:row>
          <xdr:rowOff>144780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45720</xdr:rowOff>
        </xdr:from>
        <xdr:to>
          <xdr:col>9</xdr:col>
          <xdr:colOff>647700</xdr:colOff>
          <xdr:row>9</xdr:row>
          <xdr:rowOff>114300</xdr:rowOff>
        </xdr:to>
        <xdr:sp macro="" textlink="">
          <xdr:nvSpPr>
            <xdr:cNvPr id="2050" name="Pressur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</xdr:row>
          <xdr:rowOff>22860</xdr:rowOff>
        </xdr:from>
        <xdr:to>
          <xdr:col>8</xdr:col>
          <xdr:colOff>518160</xdr:colOff>
          <xdr:row>2</xdr:row>
          <xdr:rowOff>137160</xdr:rowOff>
        </xdr:to>
        <xdr:sp macro="" textlink="">
          <xdr:nvSpPr>
            <xdr:cNvPr id="2051" name="Stop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4</xdr:row>
          <xdr:rowOff>60960</xdr:rowOff>
        </xdr:from>
        <xdr:to>
          <xdr:col>11</xdr:col>
          <xdr:colOff>655320</xdr:colOff>
          <xdr:row>9</xdr:row>
          <xdr:rowOff>99060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6F71-D147-4834-8ED2-7B2F5F2E0BE7}">
  <sheetPr codeName="Sheet1"/>
  <dimension ref="A1:H19"/>
  <sheetViews>
    <sheetView tabSelected="1" workbookViewId="0">
      <selection activeCell="L17" sqref="L17:N22"/>
    </sheetView>
  </sheetViews>
  <sheetFormatPr defaultRowHeight="18" x14ac:dyDescent="0.45"/>
  <sheetData>
    <row r="1" spans="1:8" x14ac:dyDescent="0.45">
      <c r="A1" t="s">
        <v>10</v>
      </c>
    </row>
    <row r="2" spans="1:8" x14ac:dyDescent="0.45">
      <c r="A2" t="s">
        <v>46</v>
      </c>
      <c r="B2" t="s">
        <v>47</v>
      </c>
      <c r="C2" t="s">
        <v>11</v>
      </c>
      <c r="D2" t="s">
        <v>12</v>
      </c>
      <c r="E2" t="s">
        <v>13</v>
      </c>
      <c r="F2" s="10">
        <v>7523</v>
      </c>
      <c r="G2" t="s">
        <v>44</v>
      </c>
      <c r="H2" t="s">
        <v>45</v>
      </c>
    </row>
    <row r="3" spans="1:8" x14ac:dyDescent="0.45">
      <c r="A3" t="s">
        <v>14</v>
      </c>
      <c r="E3" t="s">
        <v>15</v>
      </c>
    </row>
    <row r="4" spans="1:8" x14ac:dyDescent="0.45">
      <c r="A4" t="s">
        <v>4</v>
      </c>
      <c r="B4" t="s">
        <v>5</v>
      </c>
      <c r="C4" t="s">
        <v>6</v>
      </c>
      <c r="D4" t="s">
        <v>7</v>
      </c>
      <c r="E4" t="s">
        <v>4</v>
      </c>
      <c r="F4" t="s">
        <v>5</v>
      </c>
      <c r="G4" t="s">
        <v>6</v>
      </c>
      <c r="H4" t="s">
        <v>7</v>
      </c>
    </row>
    <row r="5" spans="1:8" x14ac:dyDescent="0.45">
      <c r="A5">
        <v>27000</v>
      </c>
      <c r="B5">
        <v>26996</v>
      </c>
      <c r="C5">
        <f>$B$16*A5+$B$15</f>
        <v>26996</v>
      </c>
      <c r="D5">
        <f>B5-C5</f>
        <v>0</v>
      </c>
      <c r="E5">
        <v>0.1</v>
      </c>
      <c r="F5">
        <v>9.8799999999999999E-2</v>
      </c>
      <c r="G5">
        <f>$F$16*E5+$F$15</f>
        <v>9.8816666666666733E-2</v>
      </c>
      <c r="H5">
        <f>F5-G5</f>
        <v>-1.666666666673422E-5</v>
      </c>
    </row>
    <row r="6" spans="1:8" x14ac:dyDescent="0.45">
      <c r="A6">
        <v>27500</v>
      </c>
      <c r="B6">
        <v>27496</v>
      </c>
      <c r="C6">
        <f t="shared" ref="C6:C13" si="0">$B$16*A6+$B$15</f>
        <v>27496</v>
      </c>
      <c r="D6">
        <f t="shared" ref="D6:D13" si="1">B6-C6</f>
        <v>0</v>
      </c>
      <c r="E6">
        <v>0.2</v>
      </c>
      <c r="F6">
        <v>0.2009</v>
      </c>
      <c r="G6">
        <f t="shared" ref="G6:G14" si="2">$F$16*E6+$F$15</f>
        <v>0.2008690476190477</v>
      </c>
      <c r="H6">
        <f t="shared" ref="H6:H14" si="3">F6-G6</f>
        <v>3.0952380952298242E-5</v>
      </c>
    </row>
    <row r="7" spans="1:8" x14ac:dyDescent="0.45">
      <c r="A7">
        <v>28000</v>
      </c>
      <c r="B7">
        <v>27996</v>
      </c>
      <c r="C7">
        <f t="shared" si="0"/>
        <v>27996</v>
      </c>
      <c r="D7">
        <f t="shared" si="1"/>
        <v>0</v>
      </c>
      <c r="E7">
        <v>0.3</v>
      </c>
      <c r="F7">
        <v>0.3029</v>
      </c>
      <c r="G7">
        <f t="shared" si="2"/>
        <v>0.30292142857142862</v>
      </c>
      <c r="H7">
        <f t="shared" si="3"/>
        <v>-2.142857142861665E-5</v>
      </c>
    </row>
    <row r="8" spans="1:8" x14ac:dyDescent="0.45">
      <c r="A8">
        <v>28500</v>
      </c>
      <c r="B8">
        <v>28496</v>
      </c>
      <c r="C8">
        <f t="shared" si="0"/>
        <v>28496</v>
      </c>
      <c r="D8">
        <f t="shared" si="1"/>
        <v>0</v>
      </c>
      <c r="E8">
        <v>0.4</v>
      </c>
      <c r="F8">
        <v>0.40500000000000003</v>
      </c>
      <c r="G8">
        <f t="shared" si="2"/>
        <v>0.40497380952380962</v>
      </c>
      <c r="H8">
        <f t="shared" si="3"/>
        <v>2.6190476190401935E-5</v>
      </c>
    </row>
    <row r="9" spans="1:8" x14ac:dyDescent="0.45">
      <c r="A9">
        <v>29000</v>
      </c>
      <c r="B9">
        <v>28996</v>
      </c>
      <c r="C9">
        <f t="shared" si="0"/>
        <v>28996</v>
      </c>
      <c r="D9">
        <f t="shared" si="1"/>
        <v>0</v>
      </c>
      <c r="E9">
        <v>0.5</v>
      </c>
      <c r="F9">
        <v>0.50700000000000001</v>
      </c>
      <c r="G9">
        <f t="shared" si="2"/>
        <v>0.50702619047619057</v>
      </c>
      <c r="H9">
        <f t="shared" si="3"/>
        <v>-2.6190476190568468E-5</v>
      </c>
    </row>
    <row r="10" spans="1:8" x14ac:dyDescent="0.45">
      <c r="A10">
        <v>29500</v>
      </c>
      <c r="B10">
        <v>29496</v>
      </c>
      <c r="C10">
        <f t="shared" si="0"/>
        <v>29496</v>
      </c>
      <c r="D10">
        <f t="shared" si="1"/>
        <v>0</v>
      </c>
      <c r="E10">
        <v>0.6</v>
      </c>
      <c r="F10">
        <v>0.60909999999999997</v>
      </c>
      <c r="G10">
        <f t="shared" si="2"/>
        <v>0.60907857142857147</v>
      </c>
      <c r="H10">
        <f t="shared" si="3"/>
        <v>2.1428571428505627E-5</v>
      </c>
    </row>
    <row r="11" spans="1:8" x14ac:dyDescent="0.45">
      <c r="A11">
        <v>30000</v>
      </c>
      <c r="B11">
        <v>29996</v>
      </c>
      <c r="C11">
        <f t="shared" si="0"/>
        <v>29996</v>
      </c>
      <c r="D11">
        <f t="shared" si="1"/>
        <v>0</v>
      </c>
      <c r="E11">
        <v>0.7</v>
      </c>
      <c r="F11">
        <v>0.71109999999999995</v>
      </c>
      <c r="G11">
        <f t="shared" si="2"/>
        <v>0.71113095238095247</v>
      </c>
      <c r="H11">
        <f t="shared" si="3"/>
        <v>-3.0952380952520286E-5</v>
      </c>
    </row>
    <row r="12" spans="1:8" x14ac:dyDescent="0.45">
      <c r="A12">
        <v>30500</v>
      </c>
      <c r="B12">
        <v>30496</v>
      </c>
      <c r="C12">
        <f t="shared" si="0"/>
        <v>30496</v>
      </c>
      <c r="D12">
        <f t="shared" si="1"/>
        <v>0</v>
      </c>
      <c r="E12">
        <v>0.8</v>
      </c>
      <c r="F12">
        <v>0.81320000000000003</v>
      </c>
      <c r="G12">
        <f t="shared" si="2"/>
        <v>0.81318333333333348</v>
      </c>
      <c r="H12">
        <f t="shared" si="3"/>
        <v>1.6666666666553809E-5</v>
      </c>
    </row>
    <row r="13" spans="1:8" x14ac:dyDescent="0.45">
      <c r="A13">
        <v>31000</v>
      </c>
      <c r="B13">
        <v>30996</v>
      </c>
      <c r="C13">
        <f t="shared" si="0"/>
        <v>30996</v>
      </c>
      <c r="D13">
        <f t="shared" si="1"/>
        <v>0</v>
      </c>
      <c r="E13">
        <v>0.9</v>
      </c>
      <c r="F13">
        <v>0.91420000000000001</v>
      </c>
      <c r="G13">
        <f t="shared" si="2"/>
        <v>0.91523571428571449</v>
      </c>
      <c r="H13">
        <f t="shared" si="3"/>
        <v>-1.035714285714473E-3</v>
      </c>
    </row>
    <row r="14" spans="1:8" x14ac:dyDescent="0.45">
      <c r="E14" s="9">
        <v>1</v>
      </c>
      <c r="F14">
        <v>1.0162</v>
      </c>
      <c r="G14">
        <f t="shared" si="2"/>
        <v>1.0172880952380954</v>
      </c>
      <c r="H14">
        <f t="shared" si="3"/>
        <v>-1.0880952380953879E-3</v>
      </c>
    </row>
    <row r="15" spans="1:8" x14ac:dyDescent="0.45">
      <c r="A15" t="s">
        <v>1</v>
      </c>
      <c r="B15">
        <f>INTERCEPT(B5:B13,A5:A13)</f>
        <v>-4</v>
      </c>
      <c r="E15" t="s">
        <v>1</v>
      </c>
      <c r="F15">
        <f>INTERCEPT(F5:F12,E5:E12)</f>
        <v>-3.2357142857142307E-3</v>
      </c>
      <c r="H15" t="s">
        <v>8</v>
      </c>
    </row>
    <row r="16" spans="1:8" x14ac:dyDescent="0.45">
      <c r="A16" t="s">
        <v>0</v>
      </c>
      <c r="B16">
        <f>SLOPE(B5:B13,A5:A13)</f>
        <v>1</v>
      </c>
      <c r="E16" t="s">
        <v>0</v>
      </c>
      <c r="F16">
        <f>SLOPE(F5:F12,E5:E12)</f>
        <v>1.0205238095238096</v>
      </c>
    </row>
    <row r="18" spans="1:8" x14ac:dyDescent="0.45">
      <c r="A18" t="s">
        <v>2</v>
      </c>
      <c r="B18">
        <f>INTERCEPT(A5:A13,B5:B13)</f>
        <v>4</v>
      </c>
      <c r="E18" t="s">
        <v>2</v>
      </c>
      <c r="F18">
        <f>INTERCEPT(E5:E12,F5:F12)</f>
        <v>3.1706455250975485E-3</v>
      </c>
      <c r="H18" t="s">
        <v>9</v>
      </c>
    </row>
    <row r="19" spans="1:8" x14ac:dyDescent="0.45">
      <c r="A19" t="s">
        <v>3</v>
      </c>
      <c r="B19">
        <f>SLOPE(A5:A13,B5:B13)</f>
        <v>1</v>
      </c>
      <c r="E19" t="s">
        <v>3</v>
      </c>
      <c r="F19">
        <f>SLOPE(E5:E12,F5:F12)</f>
        <v>0.97988893525197884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0B2F2-5CA7-4D9C-86EB-16A6DBACA47F}">
  <sheetPr codeName="Sheet8"/>
  <dimension ref="A1:G53"/>
  <sheetViews>
    <sheetView workbookViewId="0">
      <selection activeCell="P25" sqref="P25"/>
    </sheetView>
  </sheetViews>
  <sheetFormatPr defaultRowHeight="13.2" x14ac:dyDescent="0.2"/>
  <cols>
    <col min="1" max="1" width="8.796875" style="1"/>
    <col min="2" max="2" width="13" style="1" bestFit="1" customWidth="1"/>
    <col min="3" max="3" width="12.8984375" style="1" bestFit="1" customWidth="1"/>
    <col min="4" max="4" width="8.796875" style="1" customWidth="1"/>
    <col min="5" max="257" width="8.796875" style="1"/>
    <col min="258" max="258" width="13" style="1" bestFit="1" customWidth="1"/>
    <col min="259" max="259" width="17.59765625" style="1" customWidth="1"/>
    <col min="260" max="260" width="10.3984375" style="1" customWidth="1"/>
    <col min="261" max="513" width="8.796875" style="1"/>
    <col min="514" max="514" width="13" style="1" bestFit="1" customWidth="1"/>
    <col min="515" max="515" width="17.59765625" style="1" customWidth="1"/>
    <col min="516" max="516" width="10.3984375" style="1" customWidth="1"/>
    <col min="517" max="769" width="8.796875" style="1"/>
    <col min="770" max="770" width="13" style="1" bestFit="1" customWidth="1"/>
    <col min="771" max="771" width="17.59765625" style="1" customWidth="1"/>
    <col min="772" max="772" width="10.3984375" style="1" customWidth="1"/>
    <col min="773" max="1025" width="8.796875" style="1"/>
    <col min="1026" max="1026" width="13" style="1" bestFit="1" customWidth="1"/>
    <col min="1027" max="1027" width="17.59765625" style="1" customWidth="1"/>
    <col min="1028" max="1028" width="10.3984375" style="1" customWidth="1"/>
    <col min="1029" max="1281" width="8.796875" style="1"/>
    <col min="1282" max="1282" width="13" style="1" bestFit="1" customWidth="1"/>
    <col min="1283" max="1283" width="17.59765625" style="1" customWidth="1"/>
    <col min="1284" max="1284" width="10.3984375" style="1" customWidth="1"/>
    <col min="1285" max="1537" width="8.796875" style="1"/>
    <col min="1538" max="1538" width="13" style="1" bestFit="1" customWidth="1"/>
    <col min="1539" max="1539" width="17.59765625" style="1" customWidth="1"/>
    <col min="1540" max="1540" width="10.3984375" style="1" customWidth="1"/>
    <col min="1541" max="1793" width="8.796875" style="1"/>
    <col min="1794" max="1794" width="13" style="1" bestFit="1" customWidth="1"/>
    <col min="1795" max="1795" width="17.59765625" style="1" customWidth="1"/>
    <col min="1796" max="1796" width="10.3984375" style="1" customWidth="1"/>
    <col min="1797" max="2049" width="8.796875" style="1"/>
    <col min="2050" max="2050" width="13" style="1" bestFit="1" customWidth="1"/>
    <col min="2051" max="2051" width="17.59765625" style="1" customWidth="1"/>
    <col min="2052" max="2052" width="10.3984375" style="1" customWidth="1"/>
    <col min="2053" max="2305" width="8.796875" style="1"/>
    <col min="2306" max="2306" width="13" style="1" bestFit="1" customWidth="1"/>
    <col min="2307" max="2307" width="17.59765625" style="1" customWidth="1"/>
    <col min="2308" max="2308" width="10.3984375" style="1" customWidth="1"/>
    <col min="2309" max="2561" width="8.796875" style="1"/>
    <col min="2562" max="2562" width="13" style="1" bestFit="1" customWidth="1"/>
    <col min="2563" max="2563" width="17.59765625" style="1" customWidth="1"/>
    <col min="2564" max="2564" width="10.3984375" style="1" customWidth="1"/>
    <col min="2565" max="2817" width="8.796875" style="1"/>
    <col min="2818" max="2818" width="13" style="1" bestFit="1" customWidth="1"/>
    <col min="2819" max="2819" width="17.59765625" style="1" customWidth="1"/>
    <col min="2820" max="2820" width="10.3984375" style="1" customWidth="1"/>
    <col min="2821" max="3073" width="8.796875" style="1"/>
    <col min="3074" max="3074" width="13" style="1" bestFit="1" customWidth="1"/>
    <col min="3075" max="3075" width="17.59765625" style="1" customWidth="1"/>
    <col min="3076" max="3076" width="10.3984375" style="1" customWidth="1"/>
    <col min="3077" max="3329" width="8.796875" style="1"/>
    <col min="3330" max="3330" width="13" style="1" bestFit="1" customWidth="1"/>
    <col min="3331" max="3331" width="17.59765625" style="1" customWidth="1"/>
    <col min="3332" max="3332" width="10.3984375" style="1" customWidth="1"/>
    <col min="3333" max="3585" width="8.796875" style="1"/>
    <col min="3586" max="3586" width="13" style="1" bestFit="1" customWidth="1"/>
    <col min="3587" max="3587" width="17.59765625" style="1" customWidth="1"/>
    <col min="3588" max="3588" width="10.3984375" style="1" customWidth="1"/>
    <col min="3589" max="3841" width="8.796875" style="1"/>
    <col min="3842" max="3842" width="13" style="1" bestFit="1" customWidth="1"/>
    <col min="3843" max="3843" width="17.59765625" style="1" customWidth="1"/>
    <col min="3844" max="3844" width="10.3984375" style="1" customWidth="1"/>
    <col min="3845" max="4097" width="8.796875" style="1"/>
    <col min="4098" max="4098" width="13" style="1" bestFit="1" customWidth="1"/>
    <col min="4099" max="4099" width="17.59765625" style="1" customWidth="1"/>
    <col min="4100" max="4100" width="10.3984375" style="1" customWidth="1"/>
    <col min="4101" max="4353" width="8.796875" style="1"/>
    <col min="4354" max="4354" width="13" style="1" bestFit="1" customWidth="1"/>
    <col min="4355" max="4355" width="17.59765625" style="1" customWidth="1"/>
    <col min="4356" max="4356" width="10.3984375" style="1" customWidth="1"/>
    <col min="4357" max="4609" width="8.796875" style="1"/>
    <col min="4610" max="4610" width="13" style="1" bestFit="1" customWidth="1"/>
    <col min="4611" max="4611" width="17.59765625" style="1" customWidth="1"/>
    <col min="4612" max="4612" width="10.3984375" style="1" customWidth="1"/>
    <col min="4613" max="4865" width="8.796875" style="1"/>
    <col min="4866" max="4866" width="13" style="1" bestFit="1" customWidth="1"/>
    <col min="4867" max="4867" width="17.59765625" style="1" customWidth="1"/>
    <col min="4868" max="4868" width="10.3984375" style="1" customWidth="1"/>
    <col min="4869" max="5121" width="8.796875" style="1"/>
    <col min="5122" max="5122" width="13" style="1" bestFit="1" customWidth="1"/>
    <col min="5123" max="5123" width="17.59765625" style="1" customWidth="1"/>
    <col min="5124" max="5124" width="10.3984375" style="1" customWidth="1"/>
    <col min="5125" max="5377" width="8.796875" style="1"/>
    <col min="5378" max="5378" width="13" style="1" bestFit="1" customWidth="1"/>
    <col min="5379" max="5379" width="17.59765625" style="1" customWidth="1"/>
    <col min="5380" max="5380" width="10.3984375" style="1" customWidth="1"/>
    <col min="5381" max="5633" width="8.796875" style="1"/>
    <col min="5634" max="5634" width="13" style="1" bestFit="1" customWidth="1"/>
    <col min="5635" max="5635" width="17.59765625" style="1" customWidth="1"/>
    <col min="5636" max="5636" width="10.3984375" style="1" customWidth="1"/>
    <col min="5637" max="5889" width="8.796875" style="1"/>
    <col min="5890" max="5890" width="13" style="1" bestFit="1" customWidth="1"/>
    <col min="5891" max="5891" width="17.59765625" style="1" customWidth="1"/>
    <col min="5892" max="5892" width="10.3984375" style="1" customWidth="1"/>
    <col min="5893" max="6145" width="8.796875" style="1"/>
    <col min="6146" max="6146" width="13" style="1" bestFit="1" customWidth="1"/>
    <col min="6147" max="6147" width="17.59765625" style="1" customWidth="1"/>
    <col min="6148" max="6148" width="10.3984375" style="1" customWidth="1"/>
    <col min="6149" max="6401" width="8.796875" style="1"/>
    <col min="6402" max="6402" width="13" style="1" bestFit="1" customWidth="1"/>
    <col min="6403" max="6403" width="17.59765625" style="1" customWidth="1"/>
    <col min="6404" max="6404" width="10.3984375" style="1" customWidth="1"/>
    <col min="6405" max="6657" width="8.796875" style="1"/>
    <col min="6658" max="6658" width="13" style="1" bestFit="1" customWidth="1"/>
    <col min="6659" max="6659" width="17.59765625" style="1" customWidth="1"/>
    <col min="6660" max="6660" width="10.3984375" style="1" customWidth="1"/>
    <col min="6661" max="6913" width="8.796875" style="1"/>
    <col min="6914" max="6914" width="13" style="1" bestFit="1" customWidth="1"/>
    <col min="6915" max="6915" width="17.59765625" style="1" customWidth="1"/>
    <col min="6916" max="6916" width="10.3984375" style="1" customWidth="1"/>
    <col min="6917" max="7169" width="8.796875" style="1"/>
    <col min="7170" max="7170" width="13" style="1" bestFit="1" customWidth="1"/>
    <col min="7171" max="7171" width="17.59765625" style="1" customWidth="1"/>
    <col min="7172" max="7172" width="10.3984375" style="1" customWidth="1"/>
    <col min="7173" max="7425" width="8.796875" style="1"/>
    <col min="7426" max="7426" width="13" style="1" bestFit="1" customWidth="1"/>
    <col min="7427" max="7427" width="17.59765625" style="1" customWidth="1"/>
    <col min="7428" max="7428" width="10.3984375" style="1" customWidth="1"/>
    <col min="7429" max="7681" width="8.796875" style="1"/>
    <col min="7682" max="7682" width="13" style="1" bestFit="1" customWidth="1"/>
    <col min="7683" max="7683" width="17.59765625" style="1" customWidth="1"/>
    <col min="7684" max="7684" width="10.3984375" style="1" customWidth="1"/>
    <col min="7685" max="7937" width="8.796875" style="1"/>
    <col min="7938" max="7938" width="13" style="1" bestFit="1" customWidth="1"/>
    <col min="7939" max="7939" width="17.59765625" style="1" customWidth="1"/>
    <col min="7940" max="7940" width="10.3984375" style="1" customWidth="1"/>
    <col min="7941" max="8193" width="8.796875" style="1"/>
    <col min="8194" max="8194" width="13" style="1" bestFit="1" customWidth="1"/>
    <col min="8195" max="8195" width="17.59765625" style="1" customWidth="1"/>
    <col min="8196" max="8196" width="10.3984375" style="1" customWidth="1"/>
    <col min="8197" max="8449" width="8.796875" style="1"/>
    <col min="8450" max="8450" width="13" style="1" bestFit="1" customWidth="1"/>
    <col min="8451" max="8451" width="17.59765625" style="1" customWidth="1"/>
    <col min="8452" max="8452" width="10.3984375" style="1" customWidth="1"/>
    <col min="8453" max="8705" width="8.796875" style="1"/>
    <col min="8706" max="8706" width="13" style="1" bestFit="1" customWidth="1"/>
    <col min="8707" max="8707" width="17.59765625" style="1" customWidth="1"/>
    <col min="8708" max="8708" width="10.3984375" style="1" customWidth="1"/>
    <col min="8709" max="8961" width="8.796875" style="1"/>
    <col min="8962" max="8962" width="13" style="1" bestFit="1" customWidth="1"/>
    <col min="8963" max="8963" width="17.59765625" style="1" customWidth="1"/>
    <col min="8964" max="8964" width="10.3984375" style="1" customWidth="1"/>
    <col min="8965" max="9217" width="8.796875" style="1"/>
    <col min="9218" max="9218" width="13" style="1" bestFit="1" customWidth="1"/>
    <col min="9219" max="9219" width="17.59765625" style="1" customWidth="1"/>
    <col min="9220" max="9220" width="10.3984375" style="1" customWidth="1"/>
    <col min="9221" max="9473" width="8.796875" style="1"/>
    <col min="9474" max="9474" width="13" style="1" bestFit="1" customWidth="1"/>
    <col min="9475" max="9475" width="17.59765625" style="1" customWidth="1"/>
    <col min="9476" max="9476" width="10.3984375" style="1" customWidth="1"/>
    <col min="9477" max="9729" width="8.796875" style="1"/>
    <col min="9730" max="9730" width="13" style="1" bestFit="1" customWidth="1"/>
    <col min="9731" max="9731" width="17.59765625" style="1" customWidth="1"/>
    <col min="9732" max="9732" width="10.3984375" style="1" customWidth="1"/>
    <col min="9733" max="9985" width="8.796875" style="1"/>
    <col min="9986" max="9986" width="13" style="1" bestFit="1" customWidth="1"/>
    <col min="9987" max="9987" width="17.59765625" style="1" customWidth="1"/>
    <col min="9988" max="9988" width="10.3984375" style="1" customWidth="1"/>
    <col min="9989" max="10241" width="8.796875" style="1"/>
    <col min="10242" max="10242" width="13" style="1" bestFit="1" customWidth="1"/>
    <col min="10243" max="10243" width="17.59765625" style="1" customWidth="1"/>
    <col min="10244" max="10244" width="10.3984375" style="1" customWidth="1"/>
    <col min="10245" max="10497" width="8.796875" style="1"/>
    <col min="10498" max="10498" width="13" style="1" bestFit="1" customWidth="1"/>
    <col min="10499" max="10499" width="17.59765625" style="1" customWidth="1"/>
    <col min="10500" max="10500" width="10.3984375" style="1" customWidth="1"/>
    <col min="10501" max="10753" width="8.796875" style="1"/>
    <col min="10754" max="10754" width="13" style="1" bestFit="1" customWidth="1"/>
    <col min="10755" max="10755" width="17.59765625" style="1" customWidth="1"/>
    <col min="10756" max="10756" width="10.3984375" style="1" customWidth="1"/>
    <col min="10757" max="11009" width="8.796875" style="1"/>
    <col min="11010" max="11010" width="13" style="1" bestFit="1" customWidth="1"/>
    <col min="11011" max="11011" width="17.59765625" style="1" customWidth="1"/>
    <col min="11012" max="11012" width="10.3984375" style="1" customWidth="1"/>
    <col min="11013" max="11265" width="8.796875" style="1"/>
    <col min="11266" max="11266" width="13" style="1" bestFit="1" customWidth="1"/>
    <col min="11267" max="11267" width="17.59765625" style="1" customWidth="1"/>
    <col min="11268" max="11268" width="10.3984375" style="1" customWidth="1"/>
    <col min="11269" max="11521" width="8.796875" style="1"/>
    <col min="11522" max="11522" width="13" style="1" bestFit="1" customWidth="1"/>
    <col min="11523" max="11523" width="17.59765625" style="1" customWidth="1"/>
    <col min="11524" max="11524" width="10.3984375" style="1" customWidth="1"/>
    <col min="11525" max="11777" width="8.796875" style="1"/>
    <col min="11778" max="11778" width="13" style="1" bestFit="1" customWidth="1"/>
    <col min="11779" max="11779" width="17.59765625" style="1" customWidth="1"/>
    <col min="11780" max="11780" width="10.3984375" style="1" customWidth="1"/>
    <col min="11781" max="12033" width="8.796875" style="1"/>
    <col min="12034" max="12034" width="13" style="1" bestFit="1" customWidth="1"/>
    <col min="12035" max="12035" width="17.59765625" style="1" customWidth="1"/>
    <col min="12036" max="12036" width="10.3984375" style="1" customWidth="1"/>
    <col min="12037" max="12289" width="8.796875" style="1"/>
    <col min="12290" max="12290" width="13" style="1" bestFit="1" customWidth="1"/>
    <col min="12291" max="12291" width="17.59765625" style="1" customWidth="1"/>
    <col min="12292" max="12292" width="10.3984375" style="1" customWidth="1"/>
    <col min="12293" max="12545" width="8.796875" style="1"/>
    <col min="12546" max="12546" width="13" style="1" bestFit="1" customWidth="1"/>
    <col min="12547" max="12547" width="17.59765625" style="1" customWidth="1"/>
    <col min="12548" max="12548" width="10.3984375" style="1" customWidth="1"/>
    <col min="12549" max="12801" width="8.796875" style="1"/>
    <col min="12802" max="12802" width="13" style="1" bestFit="1" customWidth="1"/>
    <col min="12803" max="12803" width="17.59765625" style="1" customWidth="1"/>
    <col min="12804" max="12804" width="10.3984375" style="1" customWidth="1"/>
    <col min="12805" max="13057" width="8.796875" style="1"/>
    <col min="13058" max="13058" width="13" style="1" bestFit="1" customWidth="1"/>
    <col min="13059" max="13059" width="17.59765625" style="1" customWidth="1"/>
    <col min="13060" max="13060" width="10.3984375" style="1" customWidth="1"/>
    <col min="13061" max="13313" width="8.796875" style="1"/>
    <col min="13314" max="13314" width="13" style="1" bestFit="1" customWidth="1"/>
    <col min="13315" max="13315" width="17.59765625" style="1" customWidth="1"/>
    <col min="13316" max="13316" width="10.3984375" style="1" customWidth="1"/>
    <col min="13317" max="13569" width="8.796875" style="1"/>
    <col min="13570" max="13570" width="13" style="1" bestFit="1" customWidth="1"/>
    <col min="13571" max="13571" width="17.59765625" style="1" customWidth="1"/>
    <col min="13572" max="13572" width="10.3984375" style="1" customWidth="1"/>
    <col min="13573" max="13825" width="8.796875" style="1"/>
    <col min="13826" max="13826" width="13" style="1" bestFit="1" customWidth="1"/>
    <col min="13827" max="13827" width="17.59765625" style="1" customWidth="1"/>
    <col min="13828" max="13828" width="10.3984375" style="1" customWidth="1"/>
    <col min="13829" max="14081" width="8.796875" style="1"/>
    <col min="14082" max="14082" width="13" style="1" bestFit="1" customWidth="1"/>
    <col min="14083" max="14083" width="17.59765625" style="1" customWidth="1"/>
    <col min="14084" max="14084" width="10.3984375" style="1" customWidth="1"/>
    <col min="14085" max="14337" width="8.796875" style="1"/>
    <col min="14338" max="14338" width="13" style="1" bestFit="1" customWidth="1"/>
    <col min="14339" max="14339" width="17.59765625" style="1" customWidth="1"/>
    <col min="14340" max="14340" width="10.3984375" style="1" customWidth="1"/>
    <col min="14341" max="14593" width="8.796875" style="1"/>
    <col min="14594" max="14594" width="13" style="1" bestFit="1" customWidth="1"/>
    <col min="14595" max="14595" width="17.59765625" style="1" customWidth="1"/>
    <col min="14596" max="14596" width="10.3984375" style="1" customWidth="1"/>
    <col min="14597" max="14849" width="8.796875" style="1"/>
    <col min="14850" max="14850" width="13" style="1" bestFit="1" customWidth="1"/>
    <col min="14851" max="14851" width="17.59765625" style="1" customWidth="1"/>
    <col min="14852" max="14852" width="10.3984375" style="1" customWidth="1"/>
    <col min="14853" max="15105" width="8.796875" style="1"/>
    <col min="15106" max="15106" width="13" style="1" bestFit="1" customWidth="1"/>
    <col min="15107" max="15107" width="17.59765625" style="1" customWidth="1"/>
    <col min="15108" max="15108" width="10.3984375" style="1" customWidth="1"/>
    <col min="15109" max="15361" width="8.796875" style="1"/>
    <col min="15362" max="15362" width="13" style="1" bestFit="1" customWidth="1"/>
    <col min="15363" max="15363" width="17.59765625" style="1" customWidth="1"/>
    <col min="15364" max="15364" width="10.3984375" style="1" customWidth="1"/>
    <col min="15365" max="15617" width="8.796875" style="1"/>
    <col min="15618" max="15618" width="13" style="1" bestFit="1" customWidth="1"/>
    <col min="15619" max="15619" width="17.59765625" style="1" customWidth="1"/>
    <col min="15620" max="15620" width="10.3984375" style="1" customWidth="1"/>
    <col min="15621" max="15873" width="8.796875" style="1"/>
    <col min="15874" max="15874" width="13" style="1" bestFit="1" customWidth="1"/>
    <col min="15875" max="15875" width="17.59765625" style="1" customWidth="1"/>
    <col min="15876" max="15876" width="10.3984375" style="1" customWidth="1"/>
    <col min="15877" max="16129" width="8.796875" style="1"/>
    <col min="16130" max="16130" width="13" style="1" bestFit="1" customWidth="1"/>
    <col min="16131" max="16131" width="17.59765625" style="1" customWidth="1"/>
    <col min="16132" max="16132" width="10.3984375" style="1" customWidth="1"/>
    <col min="16133" max="16384" width="8.796875" style="1"/>
  </cols>
  <sheetData>
    <row r="1" spans="1:7" x14ac:dyDescent="0.2">
      <c r="A1" s="11" t="s">
        <v>43</v>
      </c>
      <c r="C1" s="1" t="s">
        <v>49</v>
      </c>
    </row>
    <row r="2" spans="1:7" x14ac:dyDescent="0.2">
      <c r="A2" s="1" t="s">
        <v>16</v>
      </c>
      <c r="B2" s="12">
        <v>536.21349999999995</v>
      </c>
      <c r="C2" s="6">
        <v>536.2135009765625</v>
      </c>
    </row>
    <row r="3" spans="1:7" x14ac:dyDescent="0.2">
      <c r="A3" s="1" t="s">
        <v>18</v>
      </c>
      <c r="B3" s="12">
        <v>-0.12943279999999999</v>
      </c>
      <c r="C3" s="6">
        <v>-0.1294327974319458</v>
      </c>
    </row>
    <row r="4" spans="1:7" x14ac:dyDescent="0.2">
      <c r="A4" s="1" t="s">
        <v>19</v>
      </c>
      <c r="B4" s="12">
        <v>8.0864129999999999E-5</v>
      </c>
      <c r="C4" s="6">
        <v>8.0864133834838872E-5</v>
      </c>
    </row>
    <row r="5" spans="1:7" x14ac:dyDescent="0.2">
      <c r="A5" s="1" t="s">
        <v>20</v>
      </c>
      <c r="B5" s="12">
        <v>2.1416000000000001E-7</v>
      </c>
      <c r="C5" s="6">
        <v>2.1415996551513673E-7</v>
      </c>
    </row>
    <row r="6" spans="1:7" x14ac:dyDescent="0.2">
      <c r="A6" s="1" t="s">
        <v>21</v>
      </c>
      <c r="B6" s="12">
        <v>0.35012860000000001</v>
      </c>
      <c r="C6" s="2">
        <v>0.35012862682342527</v>
      </c>
    </row>
    <row r="7" spans="1:7" x14ac:dyDescent="0.2">
      <c r="A7" s="1" t="s">
        <v>22</v>
      </c>
      <c r="B7" s="12">
        <v>3.3013550000000001E-6</v>
      </c>
      <c r="C7" s="2">
        <v>3.3013548851013183E-6</v>
      </c>
    </row>
    <row r="8" spans="1:7" x14ac:dyDescent="0.2">
      <c r="A8" s="1" t="s">
        <v>23</v>
      </c>
      <c r="B8" s="12">
        <v>-8.3366770000000001E-9</v>
      </c>
      <c r="C8" s="2">
        <v>-8.3366765975952155E-9</v>
      </c>
    </row>
    <row r="9" spans="1:7" x14ac:dyDescent="0.2">
      <c r="A9" s="1" t="s">
        <v>24</v>
      </c>
      <c r="B9" s="12">
        <v>-3.7234040000000003E-11</v>
      </c>
      <c r="C9" s="2">
        <v>-3.7234044075012207E-11</v>
      </c>
    </row>
    <row r="10" spans="1:7" x14ac:dyDescent="0.2">
      <c r="A10" s="1" t="s">
        <v>25</v>
      </c>
      <c r="B10" s="12">
        <v>6.838161E-6</v>
      </c>
      <c r="C10" s="2">
        <v>6.838160514831543E-6</v>
      </c>
    </row>
    <row r="11" spans="1:7" x14ac:dyDescent="0.2">
      <c r="A11" s="7" t="s">
        <v>26</v>
      </c>
      <c r="B11" s="12">
        <v>-3.6402180000000003E-11</v>
      </c>
      <c r="C11" s="8">
        <v>-3.6402182579040527E-11</v>
      </c>
    </row>
    <row r="12" spans="1:7" x14ac:dyDescent="0.2">
      <c r="A12" s="1" t="s">
        <v>27</v>
      </c>
      <c r="B12" s="12">
        <v>-1.120038E-13</v>
      </c>
      <c r="C12" s="2">
        <v>-1.1200381517410278E-13</v>
      </c>
      <c r="F12" s="1" t="s">
        <v>17</v>
      </c>
      <c r="G12" s="1">
        <v>7</v>
      </c>
    </row>
    <row r="13" spans="1:7" x14ac:dyDescent="0.2">
      <c r="A13" s="1" t="s">
        <v>28</v>
      </c>
      <c r="B13" s="12">
        <v>1.1498249999999999E-15</v>
      </c>
      <c r="C13" s="2">
        <v>1.1498249769210809E-15</v>
      </c>
    </row>
    <row r="14" spans="1:7" x14ac:dyDescent="0.2">
      <c r="A14" s="1" t="s">
        <v>29</v>
      </c>
      <c r="B14" s="12">
        <v>7.1241819999999995E-11</v>
      </c>
      <c r="C14" s="2">
        <v>7.124181747436523E-11</v>
      </c>
    </row>
    <row r="15" spans="1:7" x14ac:dyDescent="0.2">
      <c r="A15" s="1" t="s">
        <v>30</v>
      </c>
      <c r="B15" s="12">
        <v>-1.086484E-14</v>
      </c>
      <c r="C15" s="2">
        <v>-1.0864839553833007E-14</v>
      </c>
    </row>
    <row r="16" spans="1:7" x14ac:dyDescent="0.2">
      <c r="A16" s="1" t="s">
        <v>31</v>
      </c>
      <c r="B16" s="12">
        <v>1.5628390000000001E-17</v>
      </c>
      <c r="C16" s="2">
        <v>1.5628395080566001E-17</v>
      </c>
    </row>
    <row r="17" spans="1:3" x14ac:dyDescent="0.2">
      <c r="A17" s="1" t="s">
        <v>32</v>
      </c>
      <c r="B17" s="12">
        <v>1.4688609999999999E-18</v>
      </c>
      <c r="C17" s="2">
        <v>1.468861103057E-18</v>
      </c>
    </row>
    <row r="18" spans="1:3" x14ac:dyDescent="0.2">
      <c r="A18" s="1" t="s">
        <v>33</v>
      </c>
      <c r="B18" s="12">
        <v>-9.9192900000000003E-15</v>
      </c>
      <c r="C18" s="2">
        <v>-9.9192914962768542E-15</v>
      </c>
    </row>
    <row r="19" spans="1:3" x14ac:dyDescent="0.2">
      <c r="A19" s="1" t="s">
        <v>34</v>
      </c>
      <c r="B19" s="12">
        <v>1.593038E-17</v>
      </c>
      <c r="C19" s="2">
        <v>1.5930380821228001E-17</v>
      </c>
    </row>
    <row r="20" spans="1:3" x14ac:dyDescent="0.2">
      <c r="A20" s="1" t="s">
        <v>35</v>
      </c>
      <c r="B20" s="12">
        <v>1.5236359999999999E-20</v>
      </c>
      <c r="C20" s="2">
        <v>1.5236361026E-20</v>
      </c>
    </row>
    <row r="21" spans="1:3" x14ac:dyDescent="0.2">
      <c r="A21" s="1" t="s">
        <v>36</v>
      </c>
      <c r="B21" s="12">
        <v>-8.9104640000000003E-22</v>
      </c>
      <c r="C21" s="2">
        <v>-8.9104642799999993E-22</v>
      </c>
    </row>
    <row r="22" spans="1:3" x14ac:dyDescent="0.2">
      <c r="A22" s="1" t="s">
        <v>37</v>
      </c>
      <c r="B22" s="12">
        <v>29254.37</v>
      </c>
      <c r="C22" s="2">
        <v>29254.37</v>
      </c>
    </row>
    <row r="23" spans="1:3" x14ac:dyDescent="0.2">
      <c r="A23" s="1" t="s">
        <v>38</v>
      </c>
      <c r="B23" s="12">
        <v>551.21259999999995</v>
      </c>
      <c r="C23" s="2">
        <v>551.21259999999995</v>
      </c>
    </row>
    <row r="24" spans="1:3" x14ac:dyDescent="0.2">
      <c r="C24" s="5"/>
    </row>
    <row r="25" spans="1:3" x14ac:dyDescent="0.2">
      <c r="A25" s="11" t="s">
        <v>48</v>
      </c>
      <c r="C25" s="3"/>
    </row>
    <row r="26" spans="1:3" x14ac:dyDescent="0.2">
      <c r="A26" s="1" t="s">
        <v>14</v>
      </c>
      <c r="B26" s="1">
        <v>30564</v>
      </c>
      <c r="C26" s="3"/>
    </row>
    <row r="27" spans="1:3" x14ac:dyDescent="0.2">
      <c r="A27" s="1" t="s">
        <v>39</v>
      </c>
      <c r="B27" s="1">
        <v>529.5</v>
      </c>
    </row>
    <row r="29" spans="1:3" x14ac:dyDescent="0.2">
      <c r="A29" s="1" t="s">
        <v>4</v>
      </c>
      <c r="B29" s="2">
        <f>(B26-B22)</f>
        <v>1309.630000000001</v>
      </c>
    </row>
    <row r="30" spans="1:3" x14ac:dyDescent="0.2">
      <c r="A30" s="1" t="s">
        <v>5</v>
      </c>
      <c r="B30" s="2">
        <f>B27-B23</f>
        <v>-21.712599999999952</v>
      </c>
    </row>
    <row r="31" spans="1:3" x14ac:dyDescent="0.2">
      <c r="A31" s="1" t="s">
        <v>40</v>
      </c>
      <c r="B31" s="1" t="s">
        <v>41</v>
      </c>
    </row>
    <row r="32" spans="1:3" x14ac:dyDescent="0.2">
      <c r="A32" s="1">
        <v>0</v>
      </c>
      <c r="B32" s="1">
        <v>0</v>
      </c>
      <c r="C32" s="2">
        <f>B2*$B$29^A32*$B$30^B32</f>
        <v>536.21349999999995</v>
      </c>
    </row>
    <row r="33" spans="1:3" x14ac:dyDescent="0.2">
      <c r="A33" s="1">
        <v>0</v>
      </c>
      <c r="B33" s="1">
        <v>1</v>
      </c>
      <c r="C33" s="2">
        <f>B3*$B$29^A33*$B$30^B33</f>
        <v>2.8103226132799937</v>
      </c>
    </row>
    <row r="34" spans="1:3" x14ac:dyDescent="0.2">
      <c r="A34" s="1">
        <v>0</v>
      </c>
      <c r="B34" s="1">
        <v>2</v>
      </c>
      <c r="C34" s="2">
        <f t="shared" ref="C34:C51" si="0">B4*$B$29^A34*$B$30^B34</f>
        <v>3.812234275453831E-2</v>
      </c>
    </row>
    <row r="35" spans="1:3" x14ac:dyDescent="0.2">
      <c r="A35" s="1">
        <v>0</v>
      </c>
      <c r="B35" s="1">
        <v>3</v>
      </c>
      <c r="C35" s="2">
        <f t="shared" si="0"/>
        <v>-2.1921680972418144E-3</v>
      </c>
    </row>
    <row r="36" spans="1:3" x14ac:dyDescent="0.2">
      <c r="A36" s="1">
        <v>1</v>
      </c>
      <c r="B36" s="1">
        <v>0</v>
      </c>
      <c r="C36" s="2">
        <f t="shared" si="0"/>
        <v>458.53891841800038</v>
      </c>
    </row>
    <row r="37" spans="1:3" x14ac:dyDescent="0.2">
      <c r="A37" s="1">
        <v>1</v>
      </c>
      <c r="B37" s="1">
        <v>1</v>
      </c>
      <c r="C37" s="2">
        <f t="shared" si="0"/>
        <v>-9.3875588780417865E-2</v>
      </c>
    </row>
    <row r="38" spans="1:3" x14ac:dyDescent="0.2">
      <c r="A38" s="1">
        <v>1</v>
      </c>
      <c r="B38" s="1">
        <v>2</v>
      </c>
      <c r="C38" s="2">
        <f t="shared" si="0"/>
        <v>-5.1471313790558042E-3</v>
      </c>
    </row>
    <row r="39" spans="1:3" x14ac:dyDescent="0.2">
      <c r="A39" s="1">
        <v>1</v>
      </c>
      <c r="B39" s="1">
        <v>3</v>
      </c>
      <c r="C39" s="2">
        <f t="shared" si="0"/>
        <v>4.9914217939782618E-4</v>
      </c>
    </row>
    <row r="40" spans="1:3" x14ac:dyDescent="0.2">
      <c r="A40" s="1">
        <v>2</v>
      </c>
      <c r="B40" s="1">
        <v>0</v>
      </c>
      <c r="C40" s="2">
        <f t="shared" si="0"/>
        <v>11.728340114970859</v>
      </c>
    </row>
    <row r="41" spans="1:3" x14ac:dyDescent="0.2">
      <c r="A41" s="1">
        <v>2</v>
      </c>
      <c r="B41" s="1">
        <v>1</v>
      </c>
      <c r="C41" s="2">
        <f t="shared" si="0"/>
        <v>1.3556152771095941E-3</v>
      </c>
    </row>
    <row r="42" spans="1:3" x14ac:dyDescent="0.2">
      <c r="A42" s="1">
        <v>2</v>
      </c>
      <c r="B42" s="1">
        <v>2</v>
      </c>
      <c r="C42" s="2">
        <f t="shared" si="0"/>
        <v>-9.0563594342668946E-5</v>
      </c>
    </row>
    <row r="43" spans="1:3" x14ac:dyDescent="0.2">
      <c r="A43" s="1">
        <v>2</v>
      </c>
      <c r="B43" s="1">
        <v>3</v>
      </c>
      <c r="C43" s="2">
        <f t="shared" si="0"/>
        <v>-2.0186660170111035E-5</v>
      </c>
    </row>
    <row r="44" spans="1:3" x14ac:dyDescent="0.2">
      <c r="A44" s="1">
        <v>3</v>
      </c>
      <c r="B44" s="1">
        <v>0</v>
      </c>
      <c r="C44" s="2">
        <f t="shared" si="0"/>
        <v>0.16002242621441681</v>
      </c>
    </row>
    <row r="45" spans="1:3" x14ac:dyDescent="0.2">
      <c r="A45" s="1">
        <v>3</v>
      </c>
      <c r="B45" s="1">
        <v>1</v>
      </c>
      <c r="C45" s="2">
        <f t="shared" si="0"/>
        <v>5.2988425098409028E-4</v>
      </c>
    </row>
    <row r="46" spans="1:3" x14ac:dyDescent="0.2">
      <c r="A46" s="1">
        <v>3</v>
      </c>
      <c r="B46" s="1">
        <v>2</v>
      </c>
      <c r="C46" s="2">
        <f t="shared" si="0"/>
        <v>1.6549456993369091E-5</v>
      </c>
    </row>
    <row r="47" spans="1:3" x14ac:dyDescent="0.2">
      <c r="A47" s="1">
        <v>3</v>
      </c>
      <c r="B47" s="1">
        <v>3</v>
      </c>
      <c r="C47" s="2">
        <f t="shared" si="0"/>
        <v>-3.3772408982764601E-5</v>
      </c>
    </row>
    <row r="48" spans="1:3" x14ac:dyDescent="0.2">
      <c r="A48" s="1">
        <v>4</v>
      </c>
      <c r="B48" s="1">
        <v>0</v>
      </c>
      <c r="C48" s="2">
        <f t="shared" si="0"/>
        <v>-2.9179311982873025E-2</v>
      </c>
    </row>
    <row r="49" spans="1:3" x14ac:dyDescent="0.2">
      <c r="A49" s="1">
        <v>4</v>
      </c>
      <c r="B49" s="1">
        <v>1</v>
      </c>
      <c r="C49" s="2">
        <f t="shared" si="0"/>
        <v>-1.0174953359576384E-3</v>
      </c>
    </row>
    <row r="50" spans="1:3" x14ac:dyDescent="0.2">
      <c r="A50" s="1">
        <v>4</v>
      </c>
      <c r="B50" s="1">
        <v>2</v>
      </c>
      <c r="C50" s="2">
        <f t="shared" si="0"/>
        <v>2.1129992787382797E-5</v>
      </c>
    </row>
    <row r="51" spans="1:3" x14ac:dyDescent="0.2">
      <c r="A51" s="1">
        <v>4</v>
      </c>
      <c r="B51" s="1">
        <v>3</v>
      </c>
      <c r="C51" s="2">
        <f t="shared" si="0"/>
        <v>2.6830593215427629E-5</v>
      </c>
    </row>
    <row r="53" spans="1:3" x14ac:dyDescent="0.2">
      <c r="B53" s="1" t="s">
        <v>42</v>
      </c>
      <c r="C53" s="4">
        <f>SUM(C32:C51)</f>
        <v>1009.3601188487314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StopButton">
          <controlPr defaultSize="0" autoLine="0" r:id="rId5">
            <anchor moveWithCells="1">
              <from>
                <xdr:col>7</xdr:col>
                <xdr:colOff>15240</xdr:colOff>
                <xdr:row>1</xdr:row>
                <xdr:rowOff>22860</xdr:rowOff>
              </from>
              <to>
                <xdr:col>8</xdr:col>
                <xdr:colOff>518160</xdr:colOff>
                <xdr:row>2</xdr:row>
                <xdr:rowOff>137160</xdr:rowOff>
              </to>
            </anchor>
          </controlPr>
        </control>
      </mc:Choice>
      <mc:Fallback>
        <control shapeId="2051" r:id="rId4" name="StopButton"/>
      </mc:Fallback>
    </mc:AlternateContent>
    <mc:AlternateContent xmlns:mc="http://schemas.openxmlformats.org/markup-compatibility/2006">
      <mc:Choice Requires="x14">
        <control shapeId="2050" r:id="rId6" name="Pressure">
          <controlPr defaultSize="0" autoLine="0" autoPict="0" r:id="rId7">
            <anchor moveWithCells="1">
              <from>
                <xdr:col>5</xdr:col>
                <xdr:colOff>38100</xdr:colOff>
                <xdr:row>4</xdr:row>
                <xdr:rowOff>45720</xdr:rowOff>
              </from>
              <to>
                <xdr:col>9</xdr:col>
                <xdr:colOff>647700</xdr:colOff>
                <xdr:row>9</xdr:row>
                <xdr:rowOff>114300</xdr:rowOff>
              </to>
            </anchor>
          </controlPr>
        </control>
      </mc:Choice>
      <mc:Fallback>
        <control shapeId="2050" r:id="rId6" name="Pressure"/>
      </mc:Fallback>
    </mc:AlternateContent>
    <mc:AlternateContent xmlns:mc="http://schemas.openxmlformats.org/markup-compatibility/2006">
      <mc:Choice Requires="x14">
        <control shapeId="2049" r:id="rId8" name="Start">
          <controlPr defaultSize="0" autoLine="0" r:id="rId9">
            <anchor moveWithCells="1">
              <from>
                <xdr:col>5</xdr:col>
                <xdr:colOff>53340</xdr:colOff>
                <xdr:row>1</xdr:row>
                <xdr:rowOff>15240</xdr:rowOff>
              </from>
              <to>
                <xdr:col>6</xdr:col>
                <xdr:colOff>510540</xdr:colOff>
                <xdr:row>2</xdr:row>
                <xdr:rowOff>144780</xdr:rowOff>
              </to>
            </anchor>
          </controlPr>
        </control>
      </mc:Choice>
      <mc:Fallback>
        <control shapeId="2049" r:id="rId8" name="Start"/>
      </mc:Fallback>
    </mc:AlternateContent>
    <mc:AlternateContent xmlns:mc="http://schemas.openxmlformats.org/markup-compatibility/2006">
      <mc:Choice Requires="x14">
        <control shapeId="2055" r:id="rId10" name="Label1">
          <controlPr defaultSize="0" autoLine="0" r:id="rId11">
            <anchor moveWithCells="1">
              <from>
                <xdr:col>10</xdr:col>
                <xdr:colOff>22860</xdr:colOff>
                <xdr:row>4</xdr:row>
                <xdr:rowOff>60960</xdr:rowOff>
              </from>
              <to>
                <xdr:col>11</xdr:col>
                <xdr:colOff>655320</xdr:colOff>
                <xdr:row>9</xdr:row>
                <xdr:rowOff>99060</xdr:rowOff>
              </to>
            </anchor>
          </controlPr>
        </control>
      </mc:Choice>
      <mc:Fallback>
        <control shapeId="2055" r:id="rId10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NanoCal</vt:lpstr>
      <vt:lpstr>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Sidik, Edwin</dc:creator>
  <cp:lastModifiedBy>Sidik, Edwin</cp:lastModifiedBy>
  <dcterms:created xsi:type="dcterms:W3CDTF">2023-07-04T09:53:11Z</dcterms:created>
  <dcterms:modified xsi:type="dcterms:W3CDTF">2023-07-17T10:44:07Z</dcterms:modified>
</cp:coreProperties>
</file>